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GENERALES" sheetId="1" state="visible" r:id="rId1"/>
    <sheet xmlns:r="http://schemas.openxmlformats.org/officeDocument/2006/relationships" name="MATERIALES" sheetId="2" state="visible" r:id="rId2"/>
    <sheet xmlns:r="http://schemas.openxmlformats.org/officeDocument/2006/relationships" name="MANO DE OBRA" sheetId="3" state="visible" r:id="rId3"/>
    <sheet xmlns:r="http://schemas.openxmlformats.org/officeDocument/2006/relationships" name="RESUMEN DE COSTOS" sheetId="4" state="visible" r:id="rId4"/>
    <sheet xmlns:r="http://schemas.openxmlformats.org/officeDocument/2006/relationships" name="PROVEEDORES" sheetId="5" state="visible" r:id="rId5"/>
    <sheet xmlns:r="http://schemas.openxmlformats.org/officeDocument/2006/relationships" name="CONDI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2" fillId="2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Manus AI</author>
  </authors>
  <commentList>
    <comment ref="B18" authorId="0" shapeId="0">
      <text>
        <t>Modifique este valor (0.21 para 21% o 0.10 para 10%).
Recuerde que el IVA reducido (10%) aplica bajo ciertas condiciones:
1. La obra es de renovación o reparación en viviendas.
2. El coste de los materiales no excede el 40% de la base imponible total.
3. La vivienda fue construida al menos 2 años antes de la reforma.
4. El destinatario es una persona física y usa la vivienda como residencia principal.</t>
      </text>
    </comment>
    <comment ref="B21" authorId="0" shapeId="0">
      <text>
        <t>Modifique este valor (ej. 0.13 para 13%).
Representa los costes indirectos de la empresa (administración, seguros, etc.).</t>
      </text>
    </comment>
    <comment ref="B22" authorId="0" shapeId="0">
      <text>
        <t>Modifique este valor (ej. 0.06 para 6%).
Es el margen de beneficio esperado por la empresa.</t>
      </text>
    </comment>
    <comment ref="B23" authorId="0" shapeId="0">
      <text>
        <t>Modifique este valor (ej. 0.05 para 5%).
La retención de garantía es un porcentaje del presupuesto que se retiene hasta la finalización satisfactoria de la obra.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</cols>
  <sheetData>
    <row r="1">
      <c r="A1" s="1" t="inlineStr">
        <is>
          <t>DATOS DE LA EMPRESA</t>
        </is>
      </c>
    </row>
    <row r="2"/>
    <row r="3">
      <c r="A3" t="inlineStr">
        <is>
          <t>Nombre Empresa:</t>
        </is>
      </c>
      <c r="B3" t="inlineStr">
        <is>
          <t>[Nombre de tu Empresa]</t>
        </is>
      </c>
    </row>
    <row r="4">
      <c r="A4" t="inlineStr">
        <is>
          <t>CIF:</t>
        </is>
      </c>
      <c r="B4" t="inlineStr">
        <is>
          <t>[CIF de tu Empresa]</t>
        </is>
      </c>
    </row>
    <row r="5">
      <c r="A5" t="inlineStr">
        <is>
          <t>Dirección:</t>
        </is>
      </c>
      <c r="B5" t="inlineStr">
        <is>
          <t>[Dirección de tu Empresa]</t>
        </is>
      </c>
    </row>
    <row r="6">
      <c r="A6" t="inlineStr">
        <is>
          <t>Teléfono:</t>
        </is>
      </c>
      <c r="B6" t="inlineStr">
        <is>
          <t>[Teléfono de tu Empresa]</t>
        </is>
      </c>
    </row>
    <row r="7">
      <c r="A7" t="inlineStr">
        <is>
          <t>Email:</t>
        </is>
      </c>
      <c r="B7" t="inlineStr">
        <is>
          <t>[Email de tu Empresa]</t>
        </is>
      </c>
    </row>
    <row r="8"/>
    <row r="9">
      <c r="A9" s="1" t="inlineStr">
        <is>
          <t>DATOS DEL CLIENTE</t>
        </is>
      </c>
    </row>
    <row r="10"/>
    <row r="11">
      <c r="A11" t="inlineStr">
        <is>
          <t>Nombre Cliente:</t>
        </is>
      </c>
      <c r="B11" t="inlineStr">
        <is>
          <t>[Nombre del Cliente]</t>
        </is>
      </c>
    </row>
    <row r="12">
      <c r="A12" t="inlineStr">
        <is>
          <t>DNI/CIF Cliente:</t>
        </is>
      </c>
      <c r="B12" t="inlineStr">
        <is>
          <t>[DNI/CIF del Cliente]</t>
        </is>
      </c>
    </row>
    <row r="13">
      <c r="A13" t="inlineStr">
        <is>
          <t>Dirección Obra:</t>
        </is>
      </c>
      <c r="B13" t="inlineStr">
        <is>
          <t>[Dirección de la Obra]</t>
        </is>
      </c>
    </row>
    <row r="14">
      <c r="A14" t="inlineStr">
        <is>
          <t>Teléfono:</t>
        </is>
      </c>
      <c r="B14" t="inlineStr">
        <is>
          <t>[Teléfono del Cliente]</t>
        </is>
      </c>
    </row>
    <row r="15">
      <c r="A15" t="inlineStr">
        <is>
          <t>Email:</t>
        </is>
      </c>
      <c r="B15" t="inlineStr">
        <is>
          <t>[Email del Cliente]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10" customWidth="1" min="4" max="4"/>
    <col width="24" customWidth="1" min="5" max="5"/>
    <col width="29" customWidth="1" min="6" max="6"/>
    <col width="19" customWidth="1" min="7" max="7"/>
    <col width="24" customWidth="1" min="8" max="8"/>
  </cols>
  <sheetData>
    <row r="1">
      <c r="A1" s="2" t="inlineStr">
        <is>
          <t>Código</t>
        </is>
      </c>
      <c r="B1" s="2" t="inlineStr">
        <is>
          <t>Descripción</t>
        </is>
      </c>
      <c r="C1" s="2" t="inlineStr">
        <is>
          <t>Precio Unitario (€)</t>
        </is>
      </c>
      <c r="D1" s="2" t="inlineStr">
        <is>
          <t>Unidades</t>
        </is>
      </c>
      <c r="E1" s="2" t="inlineStr">
        <is>
          <t>Subtotal (sin IVA) (€)</t>
        </is>
      </c>
      <c r="F1" s="2" t="inlineStr">
        <is>
          <t>IVA Aplicado (€)</t>
        </is>
      </c>
      <c r="G1" s="2" t="inlineStr">
        <is>
          <t>Total con IVA (€)</t>
        </is>
      </c>
      <c r="H1" s="2" t="inlineStr">
        <is>
          <t>Total + Merma (5%) (€)</t>
        </is>
      </c>
    </row>
    <row r="2">
      <c r="A2" t="inlineStr">
        <is>
          <t>21228</t>
        </is>
      </c>
      <c r="B2" t="inlineStr">
        <is>
          <t>Mortero seco M-7,5</t>
        </is>
      </c>
      <c r="C2" s="3" t="n">
        <v>8.75</v>
      </c>
      <c r="D2" t="n">
        <v>2</v>
      </c>
      <c r="E2" s="3">
        <f>C2*D2</f>
        <v/>
      </c>
      <c r="F2" s="3">
        <f>E2*"RESUMEN DE COSTOS"!B18</f>
        <v/>
      </c>
      <c r="G2" s="3">
        <f>E2+F2</f>
        <v/>
      </c>
      <c r="H2" s="3">
        <f>G2*1.05</f>
        <v/>
      </c>
    </row>
    <row r="3">
      <c r="A3" t="inlineStr">
        <is>
          <t>21056</t>
        </is>
      </c>
      <c r="B3" t="inlineStr">
        <is>
          <t>Saco Arlita 50 Lts.</t>
        </is>
      </c>
      <c r="C3" s="3" t="n">
        <v>2.16</v>
      </c>
      <c r="D3" t="n">
        <v>5</v>
      </c>
      <c r="E3" s="3">
        <f>C3*D3</f>
        <v/>
      </c>
      <c r="F3" s="3">
        <f>E3*"RESUMEN DE COSTOS"!B18</f>
        <v/>
      </c>
      <c r="G3" s="3">
        <f>E3+F3</f>
        <v/>
      </c>
      <c r="H3" s="3">
        <f>G3*1.05</f>
        <v/>
      </c>
    </row>
    <row r="4">
      <c r="A4" t="inlineStr">
        <is>
          <t>21147</t>
        </is>
      </c>
      <c r="B4" t="inlineStr">
        <is>
          <t>Mortero M-5,5</t>
        </is>
      </c>
      <c r="C4" s="3" t="n">
        <v>2.4</v>
      </c>
      <c r="D4" t="n">
        <v>4</v>
      </c>
      <c r="E4" s="3">
        <f>C4*D4</f>
        <v/>
      </c>
      <c r="F4" s="3">
        <f>E4*"RESUMEN DE COSTOS"!B18</f>
        <v/>
      </c>
      <c r="G4" s="3">
        <f>E4+F4</f>
        <v/>
      </c>
      <c r="H4" s="3">
        <f>G4*1.05</f>
        <v/>
      </c>
    </row>
    <row r="5">
      <c r="A5" t="inlineStr">
        <is>
          <t>11020</t>
        </is>
      </c>
      <c r="B5" t="inlineStr">
        <is>
          <t>Ladrillo 3 huecos</t>
        </is>
      </c>
      <c r="C5" s="3" t="n">
        <v>0.6</v>
      </c>
      <c r="D5" t="n">
        <v>10</v>
      </c>
      <c r="E5" s="3">
        <f>C5*D5</f>
        <v/>
      </c>
      <c r="F5" s="3">
        <f>E5*"RESUMEN DE COSTOS"!B18</f>
        <v/>
      </c>
      <c r="G5" s="3">
        <f>E5+F5</f>
        <v/>
      </c>
      <c r="H5" s="3">
        <f>G5*1.05</f>
        <v/>
      </c>
    </row>
    <row r="6">
      <c r="D6" s="4" t="inlineStr">
        <is>
          <t>TOTALES:</t>
        </is>
      </c>
      <c r="E6" s="5">
        <f>SUM(E2:E5)</f>
        <v/>
      </c>
      <c r="F6" s="5">
        <f>SUM(F2:F5)</f>
        <v/>
      </c>
      <c r="G6" s="5">
        <f>SUM(G2:G5)</f>
        <v/>
      </c>
      <c r="H6" s="5">
        <f>SUM(H2:H5)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7" customWidth="1" min="3" max="3"/>
    <col width="24" customWidth="1" min="4" max="4"/>
    <col width="29" customWidth="1" min="5" max="5"/>
    <col width="19" customWidth="1" min="6" max="6"/>
  </cols>
  <sheetData>
    <row r="1">
      <c r="A1" s="2" t="inlineStr">
        <is>
          <t>Tarea / Categoría</t>
        </is>
      </c>
      <c r="B1" s="2" t="inlineStr">
        <is>
          <t>Horas</t>
        </is>
      </c>
      <c r="C1" s="2" t="inlineStr">
        <is>
          <t>Precio/Hora (€)</t>
        </is>
      </c>
      <c r="D1" s="2" t="inlineStr">
        <is>
          <t>Subtotal (sin IVA) (€)</t>
        </is>
      </c>
      <c r="E1" s="2" t="inlineStr">
        <is>
          <t>IVA Aplicado (€)</t>
        </is>
      </c>
      <c r="F1" s="2" t="inlineStr">
        <is>
          <t>Total con IVA (€)</t>
        </is>
      </c>
    </row>
    <row r="2">
      <c r="A2" t="inlineStr">
        <is>
          <t>Oficial 1ª - Albañilería</t>
        </is>
      </c>
      <c r="B2" t="n">
        <v>35.5</v>
      </c>
      <c r="C2" s="3" t="n">
        <v>23</v>
      </c>
      <c r="D2" s="3">
        <f>B2*C2</f>
        <v/>
      </c>
      <c r="E2" s="3">
        <f>D2*"RESUMEN DE COSTOS"!B18</f>
        <v/>
      </c>
      <c r="F2" s="3">
        <f>D2+E2</f>
        <v/>
      </c>
    </row>
    <row r="3">
      <c r="A3" t="inlineStr">
        <is>
          <t>Peón especializado</t>
        </is>
      </c>
      <c r="B3" t="n">
        <v>10</v>
      </c>
      <c r="C3" s="3" t="n">
        <v>18</v>
      </c>
      <c r="D3" s="3">
        <f>B3*C3</f>
        <v/>
      </c>
      <c r="E3" s="3">
        <f>D3*"RESUMEN DE COSTOS"!B18</f>
        <v/>
      </c>
      <c r="F3" s="3">
        <f>D3+E3</f>
        <v/>
      </c>
    </row>
    <row r="4">
      <c r="C4" s="4" t="inlineStr">
        <is>
          <t>TOTAL MO:</t>
        </is>
      </c>
      <c r="D4" s="5">
        <f>SUM(D2:D3)</f>
        <v/>
      </c>
      <c r="E4" s="5">
        <f>SUM(E2:E3)</f>
        <v/>
      </c>
      <c r="F4" s="5">
        <f>SUM(F2:F3)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s="6" t="inlineStr">
        <is>
          <t>CONCEPTO</t>
        </is>
      </c>
      <c r="B1" s="6" t="inlineStr">
        <is>
          <t>TOTAL (€)</t>
        </is>
      </c>
    </row>
    <row r="2">
      <c r="A2" s="4" t="inlineStr">
        <is>
          <t>1. COSTE DE EJECUCIÓN MATERIAL</t>
        </is>
      </c>
      <c r="B2" s="4">
        <f>B3+B4</f>
        <v/>
      </c>
    </row>
    <row r="3">
      <c r="A3" s="4" t="inlineStr">
        <is>
          <t>Total Materiales (sin IVA)</t>
        </is>
      </c>
      <c r="B3" s="5">
        <f>'MATERIALES'!E6</f>
        <v/>
      </c>
    </row>
    <row r="4">
      <c r="A4" s="4" t="inlineStr">
        <is>
          <t>Total Mano de Obra (sin IVA)</t>
        </is>
      </c>
      <c r="B4" s="5">
        <f>'MANO DE OBRA'!D4</f>
        <v/>
      </c>
    </row>
    <row r="5">
      <c r="A5" t="inlineStr"/>
      <c r="B5" t="inlineStr"/>
    </row>
    <row r="6">
      <c r="A6" t="inlineStr">
        <is>
          <t>2. GASTOS GENERALES (%)</t>
        </is>
      </c>
      <c r="B6" s="7" t="n">
        <v>0.13</v>
      </c>
    </row>
    <row r="7">
      <c r="A7" t="inlineStr">
        <is>
          <t>Importe Gastos Generales</t>
        </is>
      </c>
      <c r="B7" s="3">
        <f>B2*B21</f>
        <v/>
      </c>
    </row>
    <row r="8">
      <c r="A8" t="inlineStr"/>
      <c r="B8" t="inlineStr"/>
    </row>
    <row r="9">
      <c r="A9" t="inlineStr">
        <is>
          <t>3. BENEFICIO INDUSTRIAL (%)</t>
        </is>
      </c>
      <c r="B9" s="7" t="n">
        <v>0.06</v>
      </c>
    </row>
    <row r="10">
      <c r="A10" t="inlineStr">
        <is>
          <t>Importe Beneficio Industrial</t>
        </is>
      </c>
      <c r="B10" s="3">
        <f>B2*B22</f>
        <v/>
      </c>
    </row>
    <row r="11">
      <c r="A11" t="inlineStr"/>
      <c r="B11" t="inlineStr"/>
    </row>
    <row r="12">
      <c r="A12" s="4" t="inlineStr">
        <is>
          <t>BASE IMPONIBLE (Coste de Contrata)</t>
        </is>
      </c>
      <c r="B12" s="5">
        <f>B2+B7+B10</f>
        <v/>
      </c>
    </row>
    <row r="13">
      <c r="A13" t="inlineStr">
        <is>
          <t>IVA Aplicado</t>
        </is>
      </c>
      <c r="B13" s="3">
        <f>B12*B18</f>
        <v/>
      </c>
    </row>
    <row r="14">
      <c r="A14" s="4" t="inlineStr">
        <is>
          <t>TOTAL PRESUPUESTO (con IVA)</t>
        </is>
      </c>
      <c r="B14" s="5">
        <f>B12+B13</f>
        <v/>
      </c>
    </row>
    <row r="15">
      <c r="A15" t="inlineStr"/>
      <c r="B15" t="inlineStr"/>
    </row>
    <row r="16">
      <c r="A16" t="inlineStr">
        <is>
          <t>Retención de Garantía (%)</t>
        </is>
      </c>
      <c r="B16" s="7" t="n">
        <v>0.05</v>
      </c>
    </row>
    <row r="17">
      <c r="A17" t="inlineStr">
        <is>
          <t>Importe Retención de Garantía</t>
        </is>
      </c>
      <c r="B17" s="3">
        <f>B14*B23</f>
        <v/>
      </c>
    </row>
    <row r="18">
      <c r="A18" s="4" t="inlineStr">
        <is>
          <t>Tipo de IVA a aplicar:</t>
        </is>
      </c>
      <c r="B18" s="7" t="n">
        <v>0.21</v>
      </c>
    </row>
    <row r="19">
      <c r="A19" t="inlineStr">
        <is>
          <t>Cobrado a cuenta</t>
        </is>
      </c>
      <c r="B19" s="3" t="n">
        <v>0</v>
      </c>
    </row>
    <row r="20">
      <c r="A20" s="4" t="inlineStr">
        <is>
          <t>TOTAL PENDIENTE DE PAGO</t>
        </is>
      </c>
      <c r="B20" s="5">
        <f>B14-B17-B19</f>
        <v/>
      </c>
    </row>
    <row r="21">
      <c r="A21" s="4" t="inlineStr">
        <is>
          <t>Porcentaje de Gastos Generales:</t>
        </is>
      </c>
      <c r="B21" s="7" t="n">
        <v>0.13</v>
      </c>
    </row>
    <row r="22">
      <c r="A22" s="4" t="inlineStr">
        <is>
          <t>Porcentaje de Beneficio Industrial:</t>
        </is>
      </c>
      <c r="B22" s="7" t="n">
        <v>0.06</v>
      </c>
    </row>
    <row r="23">
      <c r="A23" s="4" t="inlineStr">
        <is>
          <t>Porcentaje de Retención de Garantía:</t>
        </is>
      </c>
      <c r="B23" s="7" t="n">
        <v>0.05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6" customWidth="1" min="4" max="4"/>
    <col width="10" customWidth="1" min="5" max="5"/>
    <col width="7" customWidth="1" min="6" max="6"/>
    <col width="7" customWidth="1" min="7" max="7"/>
  </cols>
  <sheetData>
    <row r="1">
      <c r="A1" s="2" t="inlineStr">
        <is>
          <t>Empresa</t>
        </is>
      </c>
      <c r="B1" s="2" t="inlineStr">
        <is>
          <t>CIF/NIF</t>
        </is>
      </c>
      <c r="C1" s="2" t="inlineStr">
        <is>
          <t>Dirección</t>
        </is>
      </c>
      <c r="D1" s="2" t="inlineStr">
        <is>
          <t>CP y Población</t>
        </is>
      </c>
      <c r="E1" s="2" t="inlineStr">
        <is>
          <t>Teléfono</t>
        </is>
      </c>
      <c r="F1" s="2" t="inlineStr">
        <is>
          <t>Email</t>
        </is>
      </c>
      <c r="G1" s="2" t="inlineStr">
        <is>
          <t>Notas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50" customWidth="1" min="1" max="1"/>
  </cols>
  <sheetData>
    <row r="1">
      <c r="A1" s="1" t="inlineStr">
        <is>
          <t>CONDICIONES GENERALES DEL PRESUPUESTO</t>
        </is>
      </c>
    </row>
    <row r="2"/>
    <row r="3">
      <c r="A3" s="8" t="inlineStr">
        <is>
          <t>1. Validez de la Oferta: El presente presupuesto tiene una validez de [30] días naturales a partir de la fecha de emisión.</t>
        </is>
      </c>
    </row>
    <row r="4">
      <c r="A4" s="8" t="inlineStr">
        <is>
          <t>2. Forma de Pago: Se establecerán pagos por hitos o certificaciones de obra. Un [30]% a la aceptación del presupuesto, un [40]% a mitad de obra y el [30]% restante a la finalización y entrega, previa deducción de la retención de garantía si aplica.</t>
        </is>
      </c>
    </row>
    <row r="5">
      <c r="A5" s="8" t="inlineStr">
        <is>
          <t>3. Plazo de Ejecución: El plazo estimado para la ejecución de la obra es de [X] semanas/meses, a contar desde la firma del contrato o el inicio efectivo de los trabajos.</t>
        </is>
      </c>
    </row>
    <row r="6">
      <c r="A6" s="8" t="inlineStr">
        <is>
          <t>4. Modificaciones: Cualquier modificación o trabajo adicional no incluido en este presupuesto deberá ser acordado por escrito y presupuestado aparte.</t>
        </is>
      </c>
    </row>
    <row r="7">
      <c r="A7" s="8" t="inlineStr">
        <is>
          <t>5. IVA: El tipo de IVA aplicado es el indicado en la hoja "RESUMEN DE COSTOS" y se aplicará según la legislación vigente en el momento de la facturación.</t>
        </is>
      </c>
    </row>
    <row r="8">
      <c r="A8" s="8" t="inlineStr">
        <is>
          <t>6. Retención de Garantía: Se aplicará una retención del [5]% sobre el importe total del presupuesto (IVA incluido), que será liberada [30] días después de la finalización de la obra y la subsanación de posibles defectos.</t>
        </is>
      </c>
    </row>
    <row r="9">
      <c r="A9" s="8" t="inlineStr">
        <is>
          <t>7. Aceptación: La firma de este presupuesto implica la aceptación de todas las condiciones aquí expuestas.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2026-04-07T15:16:01Z</dcterms:created>
  <dcterms:modified xmlns:dcterms="http://purl.org/dc/terms/" xmlns:xsi="http://www.w3.org/2001/XMLSchema-instance" xsi:type="dcterms:W3CDTF">2026-04-07T15:16:01Z</dcterms:modified>
</cp:coreProperties>
</file>